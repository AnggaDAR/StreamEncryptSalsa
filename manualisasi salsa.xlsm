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VGS\Documents\NetBeansProjects\StreamEncryptSalsa\"/>
    </mc:Choice>
  </mc:AlternateContent>
  <xr:revisionPtr revIDLastSave="0" documentId="13_ncr:1_{6A1F3B12-16BF-4517-9E72-14DB0E92B297}" xr6:coauthVersionLast="37" xr6:coauthVersionMax="37" xr10:uidLastSave="{00000000-0000-0000-0000-000000000000}"/>
  <bookViews>
    <workbookView xWindow="0" yWindow="0" windowWidth="16170" windowHeight="5970" xr2:uid="{994587AC-91E5-4930-A779-8AAA4BD91107}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5" i="1" l="1"/>
  <c r="M45" i="1"/>
  <c r="N45" i="1"/>
  <c r="O45" i="1"/>
  <c r="L46" i="1"/>
  <c r="M46" i="1"/>
  <c r="N46" i="1"/>
  <c r="O46" i="1"/>
  <c r="L47" i="1"/>
  <c r="M47" i="1"/>
  <c r="N47" i="1"/>
  <c r="O47" i="1"/>
  <c r="M44" i="1"/>
  <c r="N44" i="1"/>
  <c r="O44" i="1"/>
  <c r="L44" i="1"/>
  <c r="B45" i="1"/>
  <c r="C45" i="1"/>
  <c r="D45" i="1"/>
  <c r="E45" i="1"/>
  <c r="B46" i="1"/>
  <c r="C46" i="1"/>
  <c r="D46" i="1"/>
  <c r="E46" i="1"/>
  <c r="B47" i="1"/>
  <c r="C47" i="1"/>
  <c r="D47" i="1"/>
  <c r="E47" i="1"/>
  <c r="C44" i="1"/>
  <c r="D44" i="1"/>
  <c r="E44" i="1"/>
  <c r="B44" i="1"/>
  <c r="B65" i="1"/>
  <c r="C65" i="1"/>
  <c r="D65" i="1"/>
  <c r="E65" i="1"/>
  <c r="B66" i="1"/>
  <c r="C66" i="1"/>
  <c r="D66" i="1"/>
  <c r="E66" i="1"/>
  <c r="B67" i="1"/>
  <c r="C67" i="1"/>
  <c r="D67" i="1"/>
  <c r="E67" i="1"/>
  <c r="C64" i="1"/>
  <c r="D64" i="1"/>
  <c r="E64" i="1"/>
  <c r="B64" i="1"/>
  <c r="B60" i="1"/>
  <c r="C60" i="1"/>
  <c r="D60" i="1"/>
  <c r="E60" i="1"/>
  <c r="B61" i="1"/>
  <c r="C61" i="1"/>
  <c r="D61" i="1"/>
  <c r="E61" i="1"/>
  <c r="B62" i="1"/>
  <c r="C62" i="1"/>
  <c r="D62" i="1"/>
  <c r="E62" i="1"/>
  <c r="C59" i="1"/>
  <c r="D59" i="1"/>
  <c r="E59" i="1"/>
  <c r="B59" i="1"/>
  <c r="B54" i="1"/>
  <c r="C54" i="1"/>
  <c r="D54" i="1"/>
  <c r="E54" i="1"/>
  <c r="B55" i="1"/>
  <c r="C55" i="1"/>
  <c r="D55" i="1"/>
  <c r="E55" i="1"/>
  <c r="B56" i="1"/>
  <c r="C56" i="1"/>
  <c r="D56" i="1"/>
  <c r="E56" i="1"/>
  <c r="B57" i="1"/>
  <c r="C57" i="1"/>
  <c r="D57" i="1"/>
  <c r="E57" i="1"/>
  <c r="B50" i="1"/>
  <c r="C50" i="1"/>
  <c r="D50" i="1"/>
  <c r="E50" i="1"/>
  <c r="B51" i="1"/>
  <c r="C51" i="1"/>
  <c r="D51" i="1"/>
  <c r="E51" i="1"/>
  <c r="B52" i="1"/>
  <c r="C52" i="1"/>
  <c r="D52" i="1"/>
  <c r="E52" i="1"/>
  <c r="C49" i="1"/>
  <c r="D49" i="1"/>
  <c r="E49" i="1"/>
  <c r="B49" i="1"/>
  <c r="I23" i="1" l="1"/>
  <c r="I24" i="1"/>
  <c r="I25" i="1"/>
  <c r="I22" i="1"/>
  <c r="J23" i="1"/>
  <c r="K23" i="1"/>
  <c r="L23" i="1"/>
  <c r="J24" i="1"/>
  <c r="K24" i="1"/>
  <c r="L24" i="1"/>
  <c r="J25" i="1"/>
  <c r="K25" i="1"/>
  <c r="L25" i="1"/>
  <c r="K22" i="1"/>
  <c r="L22" i="1"/>
  <c r="J22" i="1"/>
  <c r="I12" i="1" l="1"/>
  <c r="J14" i="1"/>
  <c r="J15" i="1" s="1"/>
  <c r="J12" i="1" s="1"/>
  <c r="J13" i="1" s="1"/>
  <c r="L15" i="1"/>
  <c r="K14" i="1"/>
  <c r="I13" i="1"/>
  <c r="I14" i="1" s="1"/>
  <c r="I15" i="1" s="1"/>
  <c r="L14" i="1"/>
  <c r="K13" i="1"/>
  <c r="L13" i="1"/>
  <c r="K12" i="1"/>
  <c r="L12" i="1"/>
  <c r="K15" i="1"/>
  <c r="B29" i="1"/>
  <c r="I8" i="1" s="1"/>
  <c r="C27" i="1"/>
  <c r="D27" i="1"/>
  <c r="K6" i="1" s="1"/>
  <c r="E27" i="1"/>
  <c r="L6" i="1" s="1"/>
  <c r="B28" i="1"/>
  <c r="B30" i="1"/>
  <c r="I9" i="1" s="1"/>
  <c r="C30" i="1"/>
  <c r="J9" i="1" s="1"/>
  <c r="D30" i="1"/>
  <c r="K9" i="1" s="1"/>
  <c r="E29" i="1"/>
  <c r="D29" i="1"/>
  <c r="E30" i="1"/>
  <c r="L9" i="1" s="1"/>
  <c r="B27" i="1"/>
  <c r="I7" i="1"/>
  <c r="K8" i="1"/>
  <c r="L8" i="1"/>
  <c r="J6" i="1"/>
  <c r="I6" i="1"/>
  <c r="B23" i="1"/>
  <c r="C23" i="1"/>
  <c r="D23" i="1"/>
  <c r="E23" i="1"/>
  <c r="B24" i="1"/>
  <c r="C24" i="1"/>
  <c r="D24" i="1"/>
  <c r="E24" i="1"/>
  <c r="B25" i="1"/>
  <c r="C25" i="1"/>
  <c r="D25" i="1"/>
  <c r="E25" i="1"/>
  <c r="C22" i="1"/>
  <c r="D22" i="1"/>
  <c r="E22" i="1"/>
  <c r="B22" i="1"/>
  <c r="C28" i="1"/>
  <c r="J7" i="1" s="1"/>
  <c r="D28" i="1"/>
  <c r="K7" i="1" s="1"/>
  <c r="C29" i="1"/>
  <c r="J8" i="1" s="1"/>
  <c r="E28" i="1"/>
  <c r="L7" i="1" s="1"/>
  <c r="I33" i="1" s="1"/>
  <c r="I34" i="1" s="1"/>
  <c r="J19" i="1" l="1"/>
  <c r="J20" i="1" s="1"/>
  <c r="J17" i="1" s="1"/>
  <c r="J18" i="1" s="1"/>
  <c r="L17" i="1"/>
  <c r="L18" i="1" s="1"/>
  <c r="L19" i="1" s="1"/>
  <c r="L20" i="1" s="1"/>
  <c r="K20" i="1"/>
  <c r="K17" i="1" s="1"/>
  <c r="K18" i="1" s="1"/>
  <c r="K19" i="1" s="1"/>
  <c r="I18" i="1"/>
  <c r="I19" i="1" s="1"/>
  <c r="I20" i="1" s="1"/>
  <c r="I17" i="1" s="1"/>
</calcChain>
</file>

<file path=xl/sharedStrings.xml><?xml version="1.0" encoding="utf-8"?>
<sst xmlns="http://schemas.openxmlformats.org/spreadsheetml/2006/main" count="120" uniqueCount="107">
  <si>
    <t>key</t>
  </si>
  <si>
    <t>iv/nonce</t>
  </si>
  <si>
    <t>constant</t>
  </si>
  <si>
    <t>c1b5d7cf0d1b61ec7a22a53b622d7a83832520a9382f95b52130f48dfec31cd9</t>
  </si>
  <si>
    <t>61066d4e77b9d215</t>
  </si>
  <si>
    <t>expand 32-byte k</t>
  </si>
  <si>
    <t>initial state</t>
  </si>
  <si>
    <t>Cons</t>
  </si>
  <si>
    <t>Key</t>
  </si>
  <si>
    <t>Pos</t>
  </si>
  <si>
    <t>Nonce</t>
  </si>
  <si>
    <t>657870616e642033322d62797465206b</t>
  </si>
  <si>
    <t>65787061</t>
  </si>
  <si>
    <t>c1b5d7cf</t>
  </si>
  <si>
    <t>0d1b61ec</t>
  </si>
  <si>
    <t>7a22a53b</t>
  </si>
  <si>
    <t>622d7a83</t>
  </si>
  <si>
    <t>6e642033</t>
  </si>
  <si>
    <t>61066d4e</t>
  </si>
  <si>
    <t>77b9d215</t>
  </si>
  <si>
    <t>322d6279</t>
  </si>
  <si>
    <t>832520a9</t>
  </si>
  <si>
    <t>382f95b5</t>
  </si>
  <si>
    <t>2130f48d</t>
  </si>
  <si>
    <t>fec31cd9</t>
  </si>
  <si>
    <t>7465206b</t>
  </si>
  <si>
    <t>round = 1</t>
  </si>
  <si>
    <t>FFFFFFFF</t>
  </si>
  <si>
    <t>column round</t>
  </si>
  <si>
    <t>row round</t>
  </si>
  <si>
    <t>00000000</t>
  </si>
  <si>
    <t>round = 2</t>
  </si>
  <si>
    <t>x[1] ^= rotateLeft(x[0] + x[3], 7);</t>
  </si>
  <si>
    <t>x[8] ^= rotateLeft(x[4] + x[0], 9);</t>
  </si>
  <si>
    <t>x[2] ^= rotateLeft(x[1] + x[0], 9);</t>
  </si>
  <si>
    <t>x[12] ^= rotateLeft(x[8] + x[4], 13);</t>
  </si>
  <si>
    <t>x[3] ^= rotateLeft(x[2] + x[1], 13);</t>
  </si>
  <si>
    <t>x[0] ^= rotateLeft(x[12] + x[8], 18);</t>
  </si>
  <si>
    <t>x[0] ^= rotateLeft(x[3] + x[2], 18);</t>
  </si>
  <si>
    <t>x[9] ^= rotateLeft(x[5] + x[1], 7);</t>
  </si>
  <si>
    <t>x[6] ^= rotateLeft(x[5] + x[4], 7);</t>
  </si>
  <si>
    <t>x[13] ^= rotateLeft(x[9] + x[5], 9);</t>
  </si>
  <si>
    <t>x[7] ^= rotateLeft(x[6] + x[5], 9);</t>
  </si>
  <si>
    <t>x[1] ^= rotateLeft(x[13] + x[9], 13);</t>
  </si>
  <si>
    <t>x[4] ^= rotateLeft(x[7] + x[6], 13);</t>
  </si>
  <si>
    <t>x[5] ^= rotateLeft(x[1] + x[13], 18);</t>
  </si>
  <si>
    <t>x[5] ^= rotateLeft(x[4] + x[7], 18);</t>
  </si>
  <si>
    <t>x[14] ^= rotateLeft(x[10] + x[6], 7);</t>
  </si>
  <si>
    <t>x[11] ^= rotateLeft(x[10] + x[9], 7);</t>
  </si>
  <si>
    <t>x[2] ^= rotateLeft(x[14] + x[10], 9);</t>
  </si>
  <si>
    <t>x[8] ^= rotateLeft(x[11] + x[10], 9);</t>
  </si>
  <si>
    <t>x[6] ^= rotateLeft(x[2] + x[14], 13);</t>
  </si>
  <si>
    <t>x[9] ^= rotateLeft(x[8] + x[11], 13);</t>
  </si>
  <si>
    <t>x[10] ^= rotateLeft(x[6] + x[2], 18);</t>
  </si>
  <si>
    <t>x[10] ^= rotateLeft(x[9] + x[8], 18);</t>
  </si>
  <si>
    <t>x[3] ^= rotateLeft(x[15] + x[11], 7);</t>
  </si>
  <si>
    <t>x[12] ^= rotateLeft(x[15] + x[14], 7);</t>
  </si>
  <si>
    <t>x[7] ^= rotateLeft(x[3] + x[15], 9);</t>
  </si>
  <si>
    <t>x[13] ^= rotateLeft(x[12] + x[15], 9);</t>
  </si>
  <si>
    <t>x[11] ^= rotateLeft(x[7] + x[3], 13);</t>
  </si>
  <si>
    <t>x[14] ^= rotateLeft(x[13] + x[12], 13);</t>
  </si>
  <si>
    <t>x[15] ^= rotateLeft(x[11] + x[7], 18);</t>
  </si>
  <si>
    <t>x[15] ^= rotateLeft(x[14] + x[13], 18);</t>
  </si>
  <si>
    <t>x[4] ^= rotateLeft(x[0] + x[12], 7);</t>
  </si>
  <si>
    <t>cfd7b5c1</t>
  </si>
  <si>
    <t>ec611b0d</t>
  </si>
  <si>
    <t>3ba5227a</t>
  </si>
  <si>
    <t>837a2d62</t>
  </si>
  <si>
    <t>3320646e</t>
  </si>
  <si>
    <t>4e6d0661</t>
  </si>
  <si>
    <t>15d2b977</t>
  </si>
  <si>
    <t>79622d32</t>
  </si>
  <si>
    <t>a9202583</t>
  </si>
  <si>
    <t>b5952f38</t>
  </si>
  <si>
    <t>8df43021</t>
  </si>
  <si>
    <t>d91cc3fe</t>
  </si>
  <si>
    <t>6b206574</t>
  </si>
  <si>
    <t>56db4c86</t>
  </si>
  <si>
    <t>fef8d5bb</t>
  </si>
  <si>
    <t>1f40ccf5</t>
  </si>
  <si>
    <t>052fdb9f</t>
  </si>
  <si>
    <t>55e652a0</t>
  </si>
  <si>
    <t>4eddb7d4</t>
  </si>
  <si>
    <t>c6310258</t>
  </si>
  <si>
    <t>424a98c6</t>
  </si>
  <si>
    <t>e7ab07ea</t>
  </si>
  <si>
    <t>7305e7e0</t>
  </si>
  <si>
    <t>9af3d0e6</t>
  </si>
  <si>
    <t>b11be4f8</t>
  </si>
  <si>
    <t>4b8495f5</t>
  </si>
  <si>
    <t>bca1b4fe</t>
  </si>
  <si>
    <t>a67a07cb</t>
  </si>
  <si>
    <t>ebc44bb8</t>
  </si>
  <si>
    <t>7c8bd0ce</t>
  </si>
  <si>
    <t>02e8a10b</t>
  </si>
  <si>
    <t>19fed440</t>
  </si>
  <si>
    <t>028060d9</t>
  </si>
  <si>
    <t>421cfe81</t>
  </si>
  <si>
    <t>b9089e14</t>
  </si>
  <si>
    <t>3d521d58</t>
  </si>
  <si>
    <t>ea07abe7</t>
  </si>
  <si>
    <t>121568ec</t>
  </si>
  <si>
    <t>69f61344</t>
  </si>
  <si>
    <t>3014b166</t>
  </si>
  <si>
    <t>16c678d9</t>
  </si>
  <si>
    <t>fc78be95</t>
  </si>
  <si>
    <t>3f6d9a11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</si>
</sst>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A5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rgb="FF93DB8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11" fontId="0" fillId="0" borderId="0" xfId="0" applyNumberFormat="1"/>
    <xf numFmtId="0" fontId="0" fillId="0" borderId="0" xfId="0" applyFont="1"/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4" borderId="1" xfId="0" quotePrefix="1" applyFont="1" applyFill="1" applyBorder="1" applyAlignment="1">
      <alignment vertical="center" wrapText="1"/>
    </xf>
    <xf numFmtId="0" fontId="1" fillId="2" borderId="1" xfId="0" applyNumberFormat="1" applyFont="1" applyFill="1" applyBorder="1" applyAlignment="1">
      <alignment vertical="center" wrapText="1"/>
    </xf>
    <xf numFmtId="1" fontId="1" fillId="2" borderId="1" xfId="0" applyNumberFormat="1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11" fontId="0" fillId="0" borderId="0" xfId="0" applyNumberFormat="1" applyBorder="1" applyAlignment="1">
      <alignment vertical="center" wrapText="1"/>
    </xf>
    <xf numFmtId="0" fontId="1" fillId="0" borderId="0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560B4-1D89-46E8-8640-30EFA4E71591}">
  <sheetPr codeName="Sheet1"/>
  <dimension ref="A1:O67"/>
  <sheetViews>
    <sheetView tabSelected="1" topLeftCell="A37" zoomScale="85" zoomScaleNormal="85" workbookViewId="0">
      <selection activeCell="B44" sqref="B44:E47"/>
    </sheetView>
  </sheetViews>
  <sheetFormatPr defaultRowHeight="15" x14ac:dyDescent="0.25"/>
  <cols>
    <col min="2" max="5" width="11" bestFit="1" customWidth="1"/>
    <col min="7" max="7" width="32.5703125" bestFit="1" customWidth="1"/>
    <col min="8" max="8" width="33.5703125" bestFit="1" customWidth="1"/>
    <col min="9" max="9" width="11" bestFit="1" customWidth="1"/>
    <col min="10" max="11" width="12.28515625" bestFit="1" customWidth="1"/>
    <col min="12" max="12" width="11" bestFit="1" customWidth="1"/>
    <col min="13" max="16" width="3" bestFit="1" customWidth="1"/>
    <col min="17" max="17" width="9" bestFit="1" customWidth="1"/>
    <col min="18" max="18" width="11.28515625" bestFit="1" customWidth="1"/>
  </cols>
  <sheetData>
    <row r="1" spans="1:12" x14ac:dyDescent="0.25">
      <c r="A1" t="s">
        <v>0</v>
      </c>
      <c r="I1" s="8">
        <v>0</v>
      </c>
      <c r="J1" s="4">
        <v>1</v>
      </c>
      <c r="K1" s="4">
        <v>2</v>
      </c>
      <c r="L1" s="4">
        <v>3</v>
      </c>
    </row>
    <row r="2" spans="1:12" x14ac:dyDescent="0.25">
      <c r="A2" t="s">
        <v>3</v>
      </c>
      <c r="I2" s="4">
        <v>4</v>
      </c>
      <c r="J2" s="8">
        <v>5</v>
      </c>
      <c r="K2" s="5">
        <v>6</v>
      </c>
      <c r="L2" s="5">
        <v>7</v>
      </c>
    </row>
    <row r="3" spans="1:12" x14ac:dyDescent="0.25">
      <c r="I3" s="7">
        <v>8</v>
      </c>
      <c r="J3" s="7">
        <v>9</v>
      </c>
      <c r="K3" s="8">
        <v>10</v>
      </c>
      <c r="L3" s="4">
        <v>11</v>
      </c>
    </row>
    <row r="4" spans="1:12" x14ac:dyDescent="0.25">
      <c r="A4" t="s">
        <v>1</v>
      </c>
      <c r="I4" s="4">
        <v>12</v>
      </c>
      <c r="J4" s="4">
        <v>13</v>
      </c>
      <c r="K4" s="4">
        <v>14</v>
      </c>
      <c r="L4" s="8">
        <v>15</v>
      </c>
    </row>
    <row r="5" spans="1:12" x14ac:dyDescent="0.25">
      <c r="A5" t="s">
        <v>4</v>
      </c>
    </row>
    <row r="6" spans="1:12" x14ac:dyDescent="0.25">
      <c r="I6">
        <f t="shared" ref="I6:L9" si="0">HEX2DEC(B27)</f>
        <v>1634760805</v>
      </c>
      <c r="J6">
        <f t="shared" si="0"/>
        <v>3487020481</v>
      </c>
      <c r="K6">
        <f t="shared" si="0"/>
        <v>3965786893</v>
      </c>
      <c r="L6">
        <f t="shared" si="0"/>
        <v>1000678010</v>
      </c>
    </row>
    <row r="7" spans="1:12" x14ac:dyDescent="0.25">
      <c r="A7" t="s">
        <v>2</v>
      </c>
      <c r="B7" t="s">
        <v>5</v>
      </c>
      <c r="I7">
        <f t="shared" si="0"/>
        <v>2205822306</v>
      </c>
      <c r="J7">
        <f t="shared" si="0"/>
        <v>857760878</v>
      </c>
      <c r="K7">
        <f t="shared" si="0"/>
        <v>1315767905</v>
      </c>
      <c r="L7">
        <f t="shared" si="0"/>
        <v>366131575</v>
      </c>
    </row>
    <row r="8" spans="1:12" x14ac:dyDescent="0.25">
      <c r="A8" s="1" t="s">
        <v>11</v>
      </c>
      <c r="I8">
        <f t="shared" si="0"/>
        <v>0</v>
      </c>
      <c r="J8">
        <f t="shared" si="0"/>
        <v>0</v>
      </c>
      <c r="K8">
        <f t="shared" si="0"/>
        <v>2036477234</v>
      </c>
      <c r="L8">
        <f t="shared" si="0"/>
        <v>2837456259</v>
      </c>
    </row>
    <row r="9" spans="1:12" x14ac:dyDescent="0.25">
      <c r="I9">
        <f t="shared" si="0"/>
        <v>3046453048</v>
      </c>
      <c r="J9">
        <f t="shared" si="0"/>
        <v>2381590561</v>
      </c>
      <c r="K9">
        <f t="shared" si="0"/>
        <v>3642541054</v>
      </c>
      <c r="L9">
        <f t="shared" si="0"/>
        <v>1797285236</v>
      </c>
    </row>
    <row r="11" spans="1:12" x14ac:dyDescent="0.25">
      <c r="A11" s="2" t="s">
        <v>6</v>
      </c>
      <c r="G11" t="s">
        <v>28</v>
      </c>
      <c r="H11" t="s">
        <v>29</v>
      </c>
      <c r="I11" t="s">
        <v>26</v>
      </c>
    </row>
    <row r="12" spans="1:12" x14ac:dyDescent="0.25">
      <c r="B12" s="3" t="s">
        <v>7</v>
      </c>
      <c r="C12" s="4" t="s">
        <v>8</v>
      </c>
      <c r="D12" s="4" t="s">
        <v>8</v>
      </c>
      <c r="E12" s="4" t="s">
        <v>8</v>
      </c>
      <c r="G12" t="s">
        <v>63</v>
      </c>
      <c r="H12" t="s">
        <v>32</v>
      </c>
      <c r="I12" s="8" t="e">
        <f>_xlfn.BITXOR(I6,_xlfn.BITAND(_xlfn.BITOR(_xlfn.BITLSHIFT(I15+I14,18),_xlfn.BITRSHIFT(I15+I14,32-18)),HEX2DEC($B$32)))</f>
        <v>#NUM!</v>
      </c>
      <c r="J12" s="4">
        <f>_xlfn.BITXOR(J6,_xlfn.BITAND(_xlfn.BITOR(_xlfn.BITLSHIFT(J15+J14,13),_xlfn.BITRSHIFT(J15+J14,32-13)),HEX2DEC($B$32)))</f>
        <v>4013399971</v>
      </c>
      <c r="K12" s="4">
        <f>_xlfn.BITXOR(K6,_xlfn.BITAND(_xlfn.BITOR(_xlfn.BITLSHIFT(K15+K8,9),_xlfn.BITRSHIFT(K15+K8,32-9)),HEX2DEC($B$32)))</f>
        <v>571442274</v>
      </c>
      <c r="L12" s="4">
        <f>_xlfn.BITXOR(L6,_xlfn.BITAND(_xlfn.BITOR(_xlfn.BITLSHIFT(L9+L8,7),_xlfn.BITRSHIFT(L9+L8,32-7)),HEX2DEC($B$32)))</f>
        <v>467687920</v>
      </c>
    </row>
    <row r="13" spans="1:12" x14ac:dyDescent="0.25">
      <c r="B13" s="4" t="s">
        <v>8</v>
      </c>
      <c r="C13" s="3" t="s">
        <v>7</v>
      </c>
      <c r="D13" s="5" t="s">
        <v>10</v>
      </c>
      <c r="E13" s="5" t="s">
        <v>10</v>
      </c>
      <c r="G13" t="s">
        <v>33</v>
      </c>
      <c r="H13" t="s">
        <v>34</v>
      </c>
      <c r="I13" s="4">
        <f>_xlfn.BITXOR(I7,_xlfn.BITAND(_xlfn.BITOR(_xlfn.BITLSHIFT(I6+I9,7),_xlfn.BITRSHIFT(I6+I9,32-7)),HEX2DEC($B$32)))</f>
        <v>27911145</v>
      </c>
      <c r="J13" s="9" t="e">
        <f>_xlfn.BITXOR(J7,_xlfn.BITAND(_xlfn.BITOR(_xlfn.BITLSHIFT(J12+J15,18),_xlfn.BITRSHIFT(J12+J15,32-18)),HEX2DEC($B$32)))</f>
        <v>#NUM!</v>
      </c>
      <c r="K13" s="5">
        <f>_xlfn.BITXOR(K7,_xlfn.BITAND(_xlfn.BITOR(_xlfn.BITLSHIFT(K12+K15,13),_xlfn.BITRSHIFT(K12+K15,32-13)),HEX2DEC($B$32)))</f>
        <v>3751996019</v>
      </c>
      <c r="L13" s="5">
        <f>_xlfn.BITXOR(L7,_xlfn.BITAND(_xlfn.BITOR(_xlfn.BITLSHIFT(L12+L9,9),_xlfn.BITRSHIFT(L12+L9,32-9)),HEX2DEC($B$32)))</f>
        <v>346845305</v>
      </c>
    </row>
    <row r="14" spans="1:12" x14ac:dyDescent="0.25">
      <c r="B14" s="6" t="s">
        <v>9</v>
      </c>
      <c r="C14" s="6" t="s">
        <v>9</v>
      </c>
      <c r="D14" s="3" t="s">
        <v>7</v>
      </c>
      <c r="E14" s="4" t="s">
        <v>8</v>
      </c>
      <c r="G14" t="s">
        <v>35</v>
      </c>
      <c r="H14" t="s">
        <v>36</v>
      </c>
      <c r="I14" s="7">
        <f>_xlfn.BITXOR(I8,_xlfn.BITAND(_xlfn.BITOR(_xlfn.BITLSHIFT(I13+I6,9),_xlfn.BITRSHIFT(I13+I6,32-9)),HEX2DEC($B$32)))</f>
        <v>884513990</v>
      </c>
      <c r="J14" s="7">
        <f>_xlfn.BITXOR(J8,_xlfn.BITAND(_xlfn.BITOR(_xlfn.BITLSHIFT(J7+J6,7),_xlfn.BITRSHIFT(J7+J6,32-7)),HEX2DEC($B$32)))</f>
        <v>2081232769</v>
      </c>
      <c r="K14" s="8" t="e">
        <f>_xlfn.BITXOR(K8,_xlfn.BITAND(_xlfn.BITOR(_xlfn.BITLSHIFT(K13+K12,18),_xlfn.BITRSHIFT(K13+K12,32-18)),HEX2DEC($B$32)))</f>
        <v>#NUM!</v>
      </c>
      <c r="L14" s="4">
        <f>_xlfn.BITXOR(L8,_xlfn.BITAND(_xlfn.BITOR(_xlfn.BITLSHIFT(L13+L12,13),_xlfn.BITRSHIFT(L13+L12,32-13)),HEX2DEC($B$32)))</f>
        <v>812450706</v>
      </c>
    </row>
    <row r="15" spans="1:12" x14ac:dyDescent="0.25">
      <c r="B15" s="4" t="s">
        <v>8</v>
      </c>
      <c r="C15" s="4" t="s">
        <v>8</v>
      </c>
      <c r="D15" s="4" t="s">
        <v>8</v>
      </c>
      <c r="E15" s="3" t="s">
        <v>7</v>
      </c>
      <c r="G15" t="s">
        <v>37</v>
      </c>
      <c r="H15" t="s">
        <v>38</v>
      </c>
      <c r="I15" s="4">
        <f>_xlfn.BITXOR(I9,_xlfn.BITAND(_xlfn.BITOR(_xlfn.BITLSHIFT(I14+I13,13),_xlfn.BITRSHIFT(I14+I13,32-13)),HEX2DEC($B$32)))</f>
        <v>3850422772</v>
      </c>
      <c r="J15" s="4">
        <f>_xlfn.BITXOR(J9,_xlfn.BITAND(_xlfn.BITOR(_xlfn.BITLSHIFT(J14+J7,9),_xlfn.BITRSHIFT(J14+J7,32-9)),HEX2DEC($B$32)))</f>
        <v>3607359359</v>
      </c>
      <c r="K15" s="4">
        <f>_xlfn.BITXOR(K9,_xlfn.BITAND(_xlfn.BITOR(_xlfn.BITLSHIFT(K8+K7,7),_xlfn.BITRSHIFT(K8+K7,32-7)),HEX2DEC($B$32)))</f>
        <v>1048906269</v>
      </c>
      <c r="L15" s="8" t="e">
        <f>_xlfn.BITXOR(L9,_xlfn.BITAND(_xlfn.BITOR(_xlfn.BITLSHIFT(L14+L13,18),_xlfn.BITRSHIFT(L14+L13,32-18)),HEX2DEC($B$32)))</f>
        <v>#NUM!</v>
      </c>
    </row>
    <row r="16" spans="1:12" x14ac:dyDescent="0.25">
      <c r="I16" t="s">
        <v>31</v>
      </c>
    </row>
    <row r="17" spans="2:12" x14ac:dyDescent="0.25">
      <c r="B17" s="8" t="s">
        <v>12</v>
      </c>
      <c r="C17" s="4" t="s">
        <v>13</v>
      </c>
      <c r="D17" s="4" t="s">
        <v>14</v>
      </c>
      <c r="E17" s="4" t="s">
        <v>15</v>
      </c>
      <c r="G17" t="s">
        <v>39</v>
      </c>
      <c r="H17" t="s">
        <v>40</v>
      </c>
      <c r="I17" s="8" t="e">
        <f>_xlfn.BITXOR(I12,_xlfn.BITAND(_xlfn.BITOR(_xlfn.BITLSHIFT(I20+I19,8),_xlfn.BITRSHIFT(I20+I19,32-8)),HEX2DEC($B$32)))</f>
        <v>#NUM!</v>
      </c>
      <c r="J17" s="4" t="e">
        <f>_xlfn.BITXOR(J12,_xlfn.BITAND(_xlfn.BITOR(_xlfn.BITLSHIFT(J20+J19,8),_xlfn.BITRSHIFT(J20+J19,32-8)),HEX2DEC($B$32)))</f>
        <v>#NUM!</v>
      </c>
      <c r="K17" s="4" t="e">
        <f>_xlfn.BITXOR(K12,_xlfn.BITAND(_xlfn.BITOR(_xlfn.BITLSHIFT(K20+K14,8),_xlfn.BITRSHIFT(K20+K14,32-8)),HEX2DEC($B$32)))</f>
        <v>#NUM!</v>
      </c>
      <c r="L17" s="4" t="e">
        <f>_xlfn.BITXOR(L12,_xlfn.BITAND(_xlfn.BITOR(_xlfn.BITLSHIFT(L15+L14,8),_xlfn.BITRSHIFT(L15+L14,32-8)),HEX2DEC($B$32)))</f>
        <v>#NUM!</v>
      </c>
    </row>
    <row r="18" spans="2:12" x14ac:dyDescent="0.25">
      <c r="B18" s="4" t="s">
        <v>16</v>
      </c>
      <c r="C18" s="3" t="s">
        <v>17</v>
      </c>
      <c r="D18" s="5" t="s">
        <v>18</v>
      </c>
      <c r="E18" s="5" t="s">
        <v>19</v>
      </c>
      <c r="G18" t="s">
        <v>41</v>
      </c>
      <c r="H18" t="s">
        <v>42</v>
      </c>
      <c r="I18" s="4" t="e">
        <f>_xlfn.BITXOR(I13,_xlfn.BITAND(_xlfn.BITOR(_xlfn.BITLSHIFT(I12+I15,8),_xlfn.BITRSHIFT(I12+I15,32-8)),HEX2DEC($B$32)))</f>
        <v>#NUM!</v>
      </c>
      <c r="J18" s="8" t="e">
        <f>_xlfn.BITXOR(J13,_xlfn.BITAND(_xlfn.BITOR(_xlfn.BITLSHIFT(J17+J20,8),_xlfn.BITRSHIFT(J17+J20,32-8)),HEX2DEC($B$32)))</f>
        <v>#NUM!</v>
      </c>
      <c r="K18" s="5" t="e">
        <f>_xlfn.BITXOR(K13,_xlfn.BITAND(_xlfn.BITOR(_xlfn.BITLSHIFT(K17+K20,8),_xlfn.BITRSHIFT(K17+K20,32-8)),HEX2DEC($B$32)))</f>
        <v>#NUM!</v>
      </c>
      <c r="L18" s="5" t="e">
        <f>_xlfn.BITXOR(L13,_xlfn.BITAND(_xlfn.BITOR(_xlfn.BITLSHIFT(L17+L15,8),_xlfn.BITRSHIFT(L17+L15,32-8)),HEX2DEC($B$32)))</f>
        <v>#NUM!</v>
      </c>
    </row>
    <row r="19" spans="2:12" x14ac:dyDescent="0.25">
      <c r="B19" s="7" t="s">
        <v>30</v>
      </c>
      <c r="C19" s="7" t="s">
        <v>30</v>
      </c>
      <c r="D19" s="3" t="s">
        <v>20</v>
      </c>
      <c r="E19" s="4" t="s">
        <v>21</v>
      </c>
      <c r="G19" t="s">
        <v>43</v>
      </c>
      <c r="H19" t="s">
        <v>44</v>
      </c>
      <c r="I19" s="7" t="e">
        <f>_xlfn.BITXOR(I14,_xlfn.BITAND(_xlfn.BITOR(_xlfn.BITLSHIFT(I18+I12,8),_xlfn.BITRSHIFT(I18+I12,32-8)),HEX2DEC($B$32)))</f>
        <v>#NUM!</v>
      </c>
      <c r="J19" s="7" t="e">
        <f>_xlfn.BITXOR(J14,_xlfn.BITAND(_xlfn.BITOR(_xlfn.BITLSHIFT(J13+J12,8),_xlfn.BITRSHIFT(J13+J12,32-8)),HEX2DEC($B$32)))</f>
        <v>#NUM!</v>
      </c>
      <c r="K19" s="8" t="e">
        <f>_xlfn.BITXOR(K14,_xlfn.BITAND(_xlfn.BITOR(_xlfn.BITLSHIFT(K18+K17,8),_xlfn.BITRSHIFT(K18+K17,32-8)),HEX2DEC($B$32)))</f>
        <v>#NUM!</v>
      </c>
      <c r="L19" s="4" t="e">
        <f>_xlfn.BITXOR(L14,_xlfn.BITAND(_xlfn.BITOR(_xlfn.BITLSHIFT(L18+L17,8),_xlfn.BITRSHIFT(L18+L17,32-8)),HEX2DEC($B$32)))</f>
        <v>#NUM!</v>
      </c>
    </row>
    <row r="20" spans="2:12" x14ac:dyDescent="0.25">
      <c r="B20" s="4" t="s">
        <v>22</v>
      </c>
      <c r="C20" s="4" t="s">
        <v>23</v>
      </c>
      <c r="D20" s="4" t="s">
        <v>24</v>
      </c>
      <c r="E20" s="3" t="s">
        <v>25</v>
      </c>
      <c r="G20" t="s">
        <v>45</v>
      </c>
      <c r="H20" t="s">
        <v>46</v>
      </c>
      <c r="I20" s="4" t="e">
        <f>_xlfn.BITXOR(I15,_xlfn.BITAND(_xlfn.BITOR(_xlfn.BITLSHIFT(I19+I18,8),_xlfn.BITRSHIFT(I19+I18,32-8)),HEX2DEC($B$32)))</f>
        <v>#NUM!</v>
      </c>
      <c r="J20" s="4" t="e">
        <f>_xlfn.BITXOR(J15,_xlfn.BITAND(_xlfn.BITOR(_xlfn.BITLSHIFT(J19+J13,8),_xlfn.BITRSHIFT(J19+J13,32-8)),HEX2DEC($B$32)))</f>
        <v>#NUM!</v>
      </c>
      <c r="K20" s="4" t="e">
        <f>_xlfn.BITXOR(K15,_xlfn.BITAND(_xlfn.BITOR(_xlfn.BITLSHIFT(K14+K13,8),_xlfn.BITRSHIFT(K14+K13,32-8)),HEX2DEC($B$32)))</f>
        <v>#NUM!</v>
      </c>
      <c r="L20" s="8" t="e">
        <f>_xlfn.BITXOR(L15,_xlfn.BITAND(_xlfn.BITOR(_xlfn.BITLSHIFT(L19+L18,8),_xlfn.BITRSHIFT(L19+L18,32-8)),HEX2DEC($B$32)))</f>
        <v>#NUM!</v>
      </c>
    </row>
    <row r="21" spans="2:12" ht="15" customHeight="1" x14ac:dyDescent="0.25"/>
    <row r="22" spans="2:12" ht="15" customHeight="1" x14ac:dyDescent="0.25">
      <c r="B22" s="2" t="str">
        <f>CONCATENATE(HEX2BIN(MID(B17,1,2),8),HEX2BIN(MID(B17,3,2),8),HEX2BIN(MID(B17,5,2),8),HEX2BIN(MID(B17,7,2),8))</f>
        <v>01100101011110000111000001100001</v>
      </c>
      <c r="C22" s="2" t="str">
        <f t="shared" ref="C22:E22" si="1">CONCATENATE(HEX2BIN(MID(C17,1,2),8),HEX2BIN(MID(C17,3,2),8),HEX2BIN(MID(C17,5,2),8),HEX2BIN(MID(C17,7,2),8))</f>
        <v>11000001101101011101011111001111</v>
      </c>
      <c r="D22" s="2" t="str">
        <f t="shared" si="1"/>
        <v>00001101000110110110000111101100</v>
      </c>
      <c r="E22" s="2" t="str">
        <f t="shared" si="1"/>
        <v>01111010001000101010010100111011</v>
      </c>
      <c r="G22" t="s">
        <v>47</v>
      </c>
      <c r="H22" t="s">
        <v>48</v>
      </c>
      <c r="I22" t="e">
        <f>DEC2HEX(I12,8)</f>
        <v>#NUM!</v>
      </c>
      <c r="J22" t="str">
        <f>DEC2HEX(J12,8)</f>
        <v>EF379FA3</v>
      </c>
      <c r="K22" t="str">
        <f t="shared" ref="K22:L22" si="2">DEC2HEX(K12,8)</f>
        <v>220F8462</v>
      </c>
      <c r="L22" t="str">
        <f t="shared" si="2"/>
        <v>1BE059F0</v>
      </c>
    </row>
    <row r="23" spans="2:12" ht="15" customHeight="1" x14ac:dyDescent="0.25">
      <c r="B23" s="2" t="str">
        <f t="shared" ref="B23:E23" si="3">CONCATENATE(HEX2BIN(MID(B18,1,2),8),HEX2BIN(MID(B18,3,2),8),HEX2BIN(MID(B18,5,2),8),HEX2BIN(MID(B18,7,2),8))</f>
        <v>01100010001011010111101010000011</v>
      </c>
      <c r="C23" s="2" t="str">
        <f t="shared" si="3"/>
        <v>01101110011001000010000000110011</v>
      </c>
      <c r="D23" s="2" t="str">
        <f t="shared" si="3"/>
        <v>01100001000001100110110101001110</v>
      </c>
      <c r="E23" s="2" t="str">
        <f t="shared" si="3"/>
        <v>01110111101110011101001000010101</v>
      </c>
      <c r="G23" t="s">
        <v>49</v>
      </c>
      <c r="H23" t="s">
        <v>50</v>
      </c>
      <c r="I23" t="str">
        <f t="shared" ref="I23:I25" si="4">DEC2HEX(I13,8)</f>
        <v>01A9E3E9</v>
      </c>
      <c r="J23" t="e">
        <f t="shared" ref="J23:L23" si="5">DEC2HEX(J13,8)</f>
        <v>#NUM!</v>
      </c>
      <c r="K23" t="str">
        <f t="shared" si="5"/>
        <v>DFA2EA73</v>
      </c>
      <c r="L23" t="str">
        <f t="shared" si="5"/>
        <v>14AC7079</v>
      </c>
    </row>
    <row r="24" spans="2:12" ht="15" customHeight="1" x14ac:dyDescent="0.25">
      <c r="B24" s="2" t="str">
        <f t="shared" ref="B24:E24" si="6">CONCATENATE(HEX2BIN(MID(B19,1,2),8),HEX2BIN(MID(B19,3,2),8),HEX2BIN(MID(B19,5,2),8),HEX2BIN(MID(B19,7,2),8))</f>
        <v>00000000000000000000000000000000</v>
      </c>
      <c r="C24" s="2" t="str">
        <f t="shared" si="6"/>
        <v>00000000000000000000000000000000</v>
      </c>
      <c r="D24" s="2" t="str">
        <f t="shared" si="6"/>
        <v>00110010001011010110001001111001</v>
      </c>
      <c r="E24" s="2" t="str">
        <f t="shared" si="6"/>
        <v>10000011001001010010000010101001</v>
      </c>
      <c r="G24" t="s">
        <v>51</v>
      </c>
      <c r="H24" t="s">
        <v>52</v>
      </c>
      <c r="I24" t="str">
        <f t="shared" si="4"/>
        <v>34B89CC6</v>
      </c>
      <c r="J24" t="str">
        <f t="shared" ref="J24:L24" si="7">DEC2HEX(J14,8)</f>
        <v>7C0D1781</v>
      </c>
      <c r="K24" t="e">
        <f t="shared" si="7"/>
        <v>#NUM!</v>
      </c>
      <c r="L24" t="str">
        <f t="shared" si="7"/>
        <v>306D0392</v>
      </c>
    </row>
    <row r="25" spans="2:12" ht="15" customHeight="1" x14ac:dyDescent="0.25">
      <c r="B25" s="2" t="str">
        <f t="shared" ref="B25:E25" si="8">CONCATENATE(HEX2BIN(MID(B20,1,2),8),HEX2BIN(MID(B20,3,2),8),HEX2BIN(MID(B20,5,2),8),HEX2BIN(MID(B20,7,2),8))</f>
        <v>00111000001011111001010110110101</v>
      </c>
      <c r="C25" s="2" t="str">
        <f t="shared" si="8"/>
        <v>00100001001100001111010010001101</v>
      </c>
      <c r="D25" s="2" t="str">
        <f t="shared" si="8"/>
        <v>11111110110000110001110011011001</v>
      </c>
      <c r="E25" s="2" t="str">
        <f t="shared" si="8"/>
        <v>01110100011001010010000001101011</v>
      </c>
      <c r="G25" t="s">
        <v>53</v>
      </c>
      <c r="H25" t="s">
        <v>54</v>
      </c>
      <c r="I25" t="str">
        <f t="shared" si="4"/>
        <v>E580C9F4</v>
      </c>
      <c r="J25" t="str">
        <f t="shared" ref="J25:L25" si="9">DEC2HEX(J15,8)</f>
        <v>D703EF7F</v>
      </c>
      <c r="K25" t="str">
        <f t="shared" si="9"/>
        <v>3E850A1D</v>
      </c>
      <c r="L25" t="e">
        <f t="shared" si="9"/>
        <v>#NUM!</v>
      </c>
    </row>
    <row r="27" spans="2:12" x14ac:dyDescent="0.25">
      <c r="B27" s="8" t="str">
        <f t="shared" ref="B27:D30" si="10">CONCATENATE(MID(B17,7,2),MID(B17,5,2),MID(B17,3,2),MID(B17,1,2))</f>
        <v>61707865</v>
      </c>
      <c r="C27" s="4" t="str">
        <f t="shared" si="10"/>
        <v>cfd7b5c1</v>
      </c>
      <c r="D27" s="4" t="str">
        <f t="shared" si="10"/>
        <v>ec611b0d</v>
      </c>
      <c r="E27" s="4" t="str">
        <f>CONCATENATE(MID(E17,7,2),MID(E17,5,2),MID(E17,3,2),MID(E17,1,2))</f>
        <v>3ba5227a</v>
      </c>
      <c r="G27" t="s">
        <v>55</v>
      </c>
      <c r="H27" t="s">
        <v>56</v>
      </c>
    </row>
    <row r="28" spans="2:12" x14ac:dyDescent="0.25">
      <c r="B28" s="4" t="str">
        <f t="shared" si="10"/>
        <v>837a2d62</v>
      </c>
      <c r="C28" s="8" t="str">
        <f t="shared" si="10"/>
        <v>3320646e</v>
      </c>
      <c r="D28" s="5" t="str">
        <f t="shared" si="10"/>
        <v>4e6d0661</v>
      </c>
      <c r="E28" s="5" t="str">
        <f t="shared" ref="E28:E30" si="11">CONCATENATE(MID(E18,7,2),MID(E18,5,2),MID(E18,3,2),MID(E18,1,2))</f>
        <v>15d2b977</v>
      </c>
      <c r="G28" t="s">
        <v>57</v>
      </c>
      <c r="H28" t="s">
        <v>58</v>
      </c>
    </row>
    <row r="29" spans="2:12" x14ac:dyDescent="0.25">
      <c r="B29" s="7" t="str">
        <f t="shared" si="10"/>
        <v>00000000</v>
      </c>
      <c r="C29" s="7" t="str">
        <f t="shared" si="10"/>
        <v>00000000</v>
      </c>
      <c r="D29" s="8" t="str">
        <f t="shared" si="10"/>
        <v>79622d32</v>
      </c>
      <c r="E29" s="4" t="str">
        <f t="shared" si="11"/>
        <v>a9202583</v>
      </c>
      <c r="G29" t="s">
        <v>59</v>
      </c>
      <c r="H29" t="s">
        <v>60</v>
      </c>
    </row>
    <row r="30" spans="2:12" x14ac:dyDescent="0.25">
      <c r="B30" s="4" t="str">
        <f t="shared" si="10"/>
        <v>b5952f38</v>
      </c>
      <c r="C30" s="4" t="str">
        <f t="shared" si="10"/>
        <v>8df43021</v>
      </c>
      <c r="D30" s="4" t="str">
        <f t="shared" si="10"/>
        <v>d91cc3fe</v>
      </c>
      <c r="E30" s="8" t="str">
        <f t="shared" si="11"/>
        <v>6b206574</v>
      </c>
      <c r="G30" t="s">
        <v>61</v>
      </c>
      <c r="H30" t="s">
        <v>62</v>
      </c>
    </row>
    <row r="32" spans="2:12" x14ac:dyDescent="0.25">
      <c r="B32" t="s">
        <v>27</v>
      </c>
    </row>
    <row r="33" spans="2:15" x14ac:dyDescent="0.25">
      <c r="I33">
        <f>_xlfn.BITAND(_xlfn.BITOR(_xlfn.BITLSHIFT(L7,8),_xlfn.BITRSHIFT(L7,32-8)),HEX2DEC(B32))</f>
        <v>3535370005</v>
      </c>
    </row>
    <row r="34" spans="2:15" x14ac:dyDescent="0.25">
      <c r="B34" s="10" t="s">
        <v>77</v>
      </c>
      <c r="C34" s="10" t="s">
        <v>78</v>
      </c>
      <c r="D34" s="10" t="s">
        <v>79</v>
      </c>
      <c r="E34" s="10" t="s">
        <v>80</v>
      </c>
      <c r="I34" t="str">
        <f>DEC2HEX(I33)</f>
        <v>D2B97715</v>
      </c>
    </row>
    <row r="35" spans="2:15" x14ac:dyDescent="0.25">
      <c r="B35" s="11" t="s">
        <v>81</v>
      </c>
      <c r="C35" s="10" t="s">
        <v>82</v>
      </c>
      <c r="D35" s="10" t="s">
        <v>83</v>
      </c>
      <c r="E35" s="10" t="s">
        <v>84</v>
      </c>
    </row>
    <row r="36" spans="2:15" x14ac:dyDescent="0.25">
      <c r="B36" s="10" t="s">
        <v>85</v>
      </c>
      <c r="C36" s="10">
        <v>43722649</v>
      </c>
      <c r="D36" s="10" t="s">
        <v>86</v>
      </c>
      <c r="E36" s="10" t="s">
        <v>87</v>
      </c>
    </row>
    <row r="37" spans="2:15" x14ac:dyDescent="0.25">
      <c r="B37" s="10" t="s">
        <v>88</v>
      </c>
      <c r="C37" s="10" t="s">
        <v>89</v>
      </c>
      <c r="D37" s="10" t="s">
        <v>90</v>
      </c>
      <c r="E37" s="10" t="s">
        <v>91</v>
      </c>
    </row>
    <row r="39" spans="2:15" x14ac:dyDescent="0.25">
      <c r="B39" s="12">
        <v>61707865</v>
      </c>
      <c r="C39" s="12" t="s">
        <v>64</v>
      </c>
      <c r="D39" s="12" t="s">
        <v>65</v>
      </c>
      <c r="E39" s="12" t="s">
        <v>66</v>
      </c>
    </row>
    <row r="40" spans="2:15" x14ac:dyDescent="0.25">
      <c r="B40" s="12" t="s">
        <v>67</v>
      </c>
      <c r="C40" s="12" t="s">
        <v>68</v>
      </c>
      <c r="D40" s="12" t="s">
        <v>69</v>
      </c>
      <c r="E40" s="12" t="s">
        <v>70</v>
      </c>
    </row>
    <row r="41" spans="2:15" x14ac:dyDescent="0.25">
      <c r="B41" s="12">
        <v>0</v>
      </c>
      <c r="C41" s="12">
        <v>0</v>
      </c>
      <c r="D41" s="12" t="s">
        <v>71</v>
      </c>
      <c r="E41" s="12" t="s">
        <v>72</v>
      </c>
    </row>
    <row r="42" spans="2:15" x14ac:dyDescent="0.25">
      <c r="B42" s="12" t="s">
        <v>73</v>
      </c>
      <c r="C42" s="12" t="s">
        <v>74</v>
      </c>
      <c r="D42" s="12" t="s">
        <v>75</v>
      </c>
      <c r="E42" s="12" t="s">
        <v>76</v>
      </c>
    </row>
    <row r="44" spans="2:15" x14ac:dyDescent="0.25">
      <c r="B44" t="str">
        <f>DEC2HEX(B64,8)</f>
        <v>B84BC4EB</v>
      </c>
      <c r="C44" t="str">
        <f t="shared" ref="C44:E44" si="12">DEC2HEX(C64,8)</f>
        <v>CED08B7C</v>
      </c>
      <c r="D44" t="str">
        <f t="shared" si="12"/>
        <v>0BA1E802</v>
      </c>
      <c r="E44" t="str">
        <f t="shared" si="12"/>
        <v>40D4FE19</v>
      </c>
      <c r="G44" t="s">
        <v>92</v>
      </c>
      <c r="H44" t="s">
        <v>93</v>
      </c>
      <c r="I44" t="s">
        <v>94</v>
      </c>
      <c r="J44" t="s">
        <v>95</v>
      </c>
      <c r="L44">
        <f>IF(AND(MID(B44,1,2)=MID(G44,7,2),MID(B44,3,2)=MID(G44,5,2),MID(B44,5,2)=MID(G44,3,2),MID(B44,7,2)=MID(G44,1,2)),1,0)</f>
        <v>1</v>
      </c>
      <c r="M44">
        <f t="shared" ref="M44:O44" si="13">IF(AND(MID(C44,1,2)=MID(H44,7,2),MID(C44,3,2)=MID(H44,5,2),MID(C44,5,2)=MID(H44,3,2),MID(C44,7,2)=MID(H44,1,2)),1,0)</f>
        <v>1</v>
      </c>
      <c r="N44">
        <f t="shared" si="13"/>
        <v>1</v>
      </c>
      <c r="O44">
        <f t="shared" si="13"/>
        <v>1</v>
      </c>
    </row>
    <row r="45" spans="2:15" x14ac:dyDescent="0.25">
      <c r="B45" t="str">
        <f t="shared" ref="B45:E45" si="14">DEC2HEX(B65,8)</f>
        <v>D9608002</v>
      </c>
      <c r="C45" t="str">
        <f t="shared" si="14"/>
        <v>81FE1C42</v>
      </c>
      <c r="D45" t="str">
        <f t="shared" si="14"/>
        <v>149E08B9</v>
      </c>
      <c r="E45" t="str">
        <f t="shared" si="14"/>
        <v>581D523D</v>
      </c>
      <c r="G45" t="s">
        <v>96</v>
      </c>
      <c r="H45" t="s">
        <v>97</v>
      </c>
      <c r="I45" t="s">
        <v>98</v>
      </c>
      <c r="J45" t="s">
        <v>99</v>
      </c>
      <c r="L45">
        <f t="shared" ref="L45:L47" si="15">IF(AND(MID(B45,1,2)=MID(G45,7,2),MID(B45,3,2)=MID(G45,5,2),MID(B45,5,2)=MID(G45,3,2),MID(B45,7,2)=MID(G45,1,2)),1,0)</f>
        <v>1</v>
      </c>
      <c r="M45">
        <f t="shared" ref="M45:M47" si="16">IF(AND(MID(C45,1,2)=MID(H45,7,2),MID(C45,3,2)=MID(H45,5,2),MID(C45,5,2)=MID(H45,3,2),MID(C45,7,2)=MID(H45,1,2)),1,0)</f>
        <v>1</v>
      </c>
      <c r="N45">
        <f t="shared" ref="N45:N47" si="17">IF(AND(MID(D45,1,2)=MID(I45,7,2),MID(D45,3,2)=MID(I45,5,2),MID(D45,5,2)=MID(I45,3,2),MID(D45,7,2)=MID(I45,1,2)),1,0)</f>
        <v>1</v>
      </c>
      <c r="O45">
        <f t="shared" ref="O45:O47" si="18">IF(AND(MID(E45,1,2)=MID(J45,7,2),MID(E45,3,2)=MID(J45,5,2),MID(E45,5,2)=MID(J45,3,2),MID(E45,7,2)=MID(J45,1,2)),1,0)</f>
        <v>1</v>
      </c>
    </row>
    <row r="46" spans="2:15" x14ac:dyDescent="0.25">
      <c r="B46" t="str">
        <f t="shared" ref="B46:E46" si="19">DEC2HEX(B66,8)</f>
        <v>E7AB07EA</v>
      </c>
      <c r="C46" t="str">
        <f t="shared" si="19"/>
        <v>43722649</v>
      </c>
      <c r="D46" t="str">
        <f t="shared" si="19"/>
        <v>EC681512</v>
      </c>
      <c r="E46" t="str">
        <f t="shared" si="19"/>
        <v>4413F669</v>
      </c>
      <c r="G46" t="s">
        <v>100</v>
      </c>
      <c r="H46">
        <v>49267243</v>
      </c>
      <c r="I46" t="s">
        <v>101</v>
      </c>
      <c r="J46" t="s">
        <v>102</v>
      </c>
      <c r="L46">
        <f t="shared" si="15"/>
        <v>1</v>
      </c>
      <c r="M46">
        <f t="shared" si="16"/>
        <v>1</v>
      </c>
      <c r="N46">
        <f t="shared" si="17"/>
        <v>1</v>
      </c>
      <c r="O46">
        <f t="shared" si="18"/>
        <v>1</v>
      </c>
    </row>
    <row r="47" spans="2:15" x14ac:dyDescent="0.25">
      <c r="B47" t="str">
        <f t="shared" ref="B47:E47" si="20">DEC2HEX(B67,8)</f>
        <v>66B11430</v>
      </c>
      <c r="C47" t="str">
        <f t="shared" si="20"/>
        <v>D978C616</v>
      </c>
      <c r="D47" t="str">
        <f t="shared" si="20"/>
        <v>95BE78FC</v>
      </c>
      <c r="E47" t="str">
        <f t="shared" si="20"/>
        <v>119A6D3F</v>
      </c>
      <c r="G47" t="s">
        <v>103</v>
      </c>
      <c r="H47" t="s">
        <v>104</v>
      </c>
      <c r="I47" t="s">
        <v>105</v>
      </c>
      <c r="J47" t="s">
        <v>106</v>
      </c>
      <c r="L47">
        <f t="shared" si="15"/>
        <v>1</v>
      </c>
      <c r="M47">
        <f t="shared" si="16"/>
        <v>1</v>
      </c>
      <c r="N47">
        <f t="shared" si="17"/>
        <v>1</v>
      </c>
      <c r="O47">
        <f t="shared" si="18"/>
        <v>1</v>
      </c>
    </row>
    <row r="49" spans="2:5" x14ac:dyDescent="0.25">
      <c r="B49">
        <f>HEX2DEC(B34)</f>
        <v>1457212550</v>
      </c>
      <c r="C49">
        <f>HEX2DEC(C34)</f>
        <v>4277720507</v>
      </c>
      <c r="D49">
        <f>HEX2DEC(D34)</f>
        <v>524340469</v>
      </c>
      <c r="E49">
        <f>HEX2DEC(E34)</f>
        <v>87022495</v>
      </c>
    </row>
    <row r="50" spans="2:5" x14ac:dyDescent="0.25">
      <c r="B50">
        <f>HEX2DEC(B35)</f>
        <v>1441157792</v>
      </c>
      <c r="C50">
        <f>HEX2DEC(C35)</f>
        <v>1323153364</v>
      </c>
      <c r="D50">
        <f>HEX2DEC(D35)</f>
        <v>3325100632</v>
      </c>
      <c r="E50">
        <f>HEX2DEC(E35)</f>
        <v>1112185030</v>
      </c>
    </row>
    <row r="51" spans="2:5" x14ac:dyDescent="0.25">
      <c r="B51">
        <f>HEX2DEC(B36)</f>
        <v>3886745578</v>
      </c>
      <c r="C51">
        <f>HEX2DEC(C36)</f>
        <v>1131554377</v>
      </c>
      <c r="D51">
        <f>HEX2DEC(D36)</f>
        <v>1929766880</v>
      </c>
      <c r="E51">
        <f>HEX2DEC(E36)</f>
        <v>2599669990</v>
      </c>
    </row>
    <row r="52" spans="2:5" x14ac:dyDescent="0.25">
      <c r="B52">
        <f>HEX2DEC(B37)</f>
        <v>2971395320</v>
      </c>
      <c r="C52">
        <f>HEX2DEC(C37)</f>
        <v>1266980341</v>
      </c>
      <c r="D52">
        <f>HEX2DEC(D37)</f>
        <v>3164714238</v>
      </c>
      <c r="E52">
        <f>HEX2DEC(E37)</f>
        <v>2793015243</v>
      </c>
    </row>
    <row r="54" spans="2:5" x14ac:dyDescent="0.25">
      <c r="B54">
        <f>HEX2DEC(B39)</f>
        <v>1634760805</v>
      </c>
      <c r="C54">
        <f>HEX2DEC(C39)</f>
        <v>3487020481</v>
      </c>
      <c r="D54">
        <f>HEX2DEC(D39)</f>
        <v>3965786893</v>
      </c>
      <c r="E54">
        <f>HEX2DEC(E39)</f>
        <v>1000678010</v>
      </c>
    </row>
    <row r="55" spans="2:5" x14ac:dyDescent="0.25">
      <c r="B55">
        <f>HEX2DEC(B40)</f>
        <v>2205822306</v>
      </c>
      <c r="C55">
        <f>HEX2DEC(C40)</f>
        <v>857760878</v>
      </c>
      <c r="D55">
        <f>HEX2DEC(D40)</f>
        <v>1315767905</v>
      </c>
      <c r="E55">
        <f>HEX2DEC(E40)</f>
        <v>366131575</v>
      </c>
    </row>
    <row r="56" spans="2:5" x14ac:dyDescent="0.25">
      <c r="B56">
        <f>HEX2DEC(B41)</f>
        <v>0</v>
      </c>
      <c r="C56">
        <f>HEX2DEC(C41)</f>
        <v>0</v>
      </c>
      <c r="D56">
        <f>HEX2DEC(D41)</f>
        <v>2036477234</v>
      </c>
      <c r="E56">
        <f>HEX2DEC(E41)</f>
        <v>2837456259</v>
      </c>
    </row>
    <row r="57" spans="2:5" x14ac:dyDescent="0.25">
      <c r="B57">
        <f>HEX2DEC(B42)</f>
        <v>3046453048</v>
      </c>
      <c r="C57">
        <f>HEX2DEC(C42)</f>
        <v>2381590561</v>
      </c>
      <c r="D57">
        <f>HEX2DEC(D42)</f>
        <v>3642541054</v>
      </c>
      <c r="E57">
        <f>HEX2DEC(E42)</f>
        <v>1797285236</v>
      </c>
    </row>
    <row r="59" spans="2:5" x14ac:dyDescent="0.25">
      <c r="B59">
        <f>B49+B54</f>
        <v>3091973355</v>
      </c>
      <c r="C59">
        <f t="shared" ref="C59:E59" si="21">C49+C54</f>
        <v>7764740988</v>
      </c>
      <c r="D59">
        <f t="shared" si="21"/>
        <v>4490127362</v>
      </c>
      <c r="E59">
        <f t="shared" si="21"/>
        <v>1087700505</v>
      </c>
    </row>
    <row r="60" spans="2:5" x14ac:dyDescent="0.25">
      <c r="B60">
        <f t="shared" ref="B60:E60" si="22">B50+B55</f>
        <v>3646980098</v>
      </c>
      <c r="C60">
        <f t="shared" si="22"/>
        <v>2180914242</v>
      </c>
      <c r="D60">
        <f t="shared" si="22"/>
        <v>4640868537</v>
      </c>
      <c r="E60">
        <f t="shared" si="22"/>
        <v>1478316605</v>
      </c>
    </row>
    <row r="61" spans="2:5" x14ac:dyDescent="0.25">
      <c r="B61">
        <f t="shared" ref="B61:E61" si="23">B51+B56</f>
        <v>3886745578</v>
      </c>
      <c r="C61">
        <f t="shared" si="23"/>
        <v>1131554377</v>
      </c>
      <c r="D61">
        <f t="shared" si="23"/>
        <v>3966244114</v>
      </c>
      <c r="E61">
        <f t="shared" si="23"/>
        <v>5437126249</v>
      </c>
    </row>
    <row r="62" spans="2:5" x14ac:dyDescent="0.25">
      <c r="B62">
        <f t="shared" ref="B62:E62" si="24">B52+B57</f>
        <v>6017848368</v>
      </c>
      <c r="C62">
        <f t="shared" si="24"/>
        <v>3648570902</v>
      </c>
      <c r="D62">
        <f t="shared" si="24"/>
        <v>6807255292</v>
      </c>
      <c r="E62">
        <f t="shared" si="24"/>
        <v>4590300479</v>
      </c>
    </row>
    <row r="64" spans="2:5" x14ac:dyDescent="0.25">
      <c r="B64">
        <f>_xlfn.BITAND(B59,HEX2DEC("FFFFFFFF"))</f>
        <v>3091973355</v>
      </c>
      <c r="C64">
        <f t="shared" ref="C64:E64" si="25">_xlfn.BITAND(C59,HEX2DEC("FFFFFFFF"))</f>
        <v>3469773692</v>
      </c>
      <c r="D64">
        <f t="shared" si="25"/>
        <v>195160066</v>
      </c>
      <c r="E64">
        <f t="shared" si="25"/>
        <v>1087700505</v>
      </c>
    </row>
    <row r="65" spans="2:5" x14ac:dyDescent="0.25">
      <c r="B65">
        <f t="shared" ref="B65:E65" si="26">_xlfn.BITAND(B60,HEX2DEC("FFFFFFFF"))</f>
        <v>3646980098</v>
      </c>
      <c r="C65">
        <f t="shared" si="26"/>
        <v>2180914242</v>
      </c>
      <c r="D65">
        <f t="shared" si="26"/>
        <v>345901241</v>
      </c>
      <c r="E65">
        <f t="shared" si="26"/>
        <v>1478316605</v>
      </c>
    </row>
    <row r="66" spans="2:5" x14ac:dyDescent="0.25">
      <c r="B66">
        <f t="shared" ref="B66:E66" si="27">_xlfn.BITAND(B61,HEX2DEC("FFFFFFFF"))</f>
        <v>3886745578</v>
      </c>
      <c r="C66">
        <f t="shared" si="27"/>
        <v>1131554377</v>
      </c>
      <c r="D66">
        <f t="shared" si="27"/>
        <v>3966244114</v>
      </c>
      <c r="E66">
        <f t="shared" si="27"/>
        <v>1142158953</v>
      </c>
    </row>
    <row r="67" spans="2:5" x14ac:dyDescent="0.25">
      <c r="B67">
        <f t="shared" ref="B67:E67" si="28">_xlfn.BITAND(B62,HEX2DEC("FFFFFFFF"))</f>
        <v>1722881072</v>
      </c>
      <c r="C67">
        <f t="shared" si="28"/>
        <v>3648570902</v>
      </c>
      <c r="D67">
        <f t="shared" si="28"/>
        <v>2512287996</v>
      </c>
      <c r="E67">
        <f t="shared" si="28"/>
        <v>295333183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CVGS</dc:creator>
  <cp:lastModifiedBy>CVGS</cp:lastModifiedBy>
  <dcterms:created xsi:type="dcterms:W3CDTF">2018-10-13T01:37:29Z</dcterms:created>
  <dcterms:modified xsi:type="dcterms:W3CDTF">2018-10-25T09:24:48Z</dcterms:modified>
</cp:coreProperties>
</file>